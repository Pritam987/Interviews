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tam.Saha\OneDrive - Ipsos\Desktop\P\MMM\K\"/>
    </mc:Choice>
  </mc:AlternateContent>
  <xr:revisionPtr revIDLastSave="0" documentId="13_ncr:1_{64A5A36B-F153-4302-90A5-9AA1A1EFB1B1}" xr6:coauthVersionLast="47" xr6:coauthVersionMax="47" xr10:uidLastSave="{00000000-0000-0000-0000-000000000000}"/>
  <bookViews>
    <workbookView xWindow="-110" yWindow="-110" windowWidth="19420" windowHeight="10300" activeTab="1" xr2:uid="{C20B6444-B03A-4232-B4CB-4B4EFCF6F95A}"/>
  </bookViews>
  <sheets>
    <sheet name="Context" sheetId="2" r:id="rId1"/>
    <sheet name="Results" sheetId="1" r:id="rId2"/>
    <sheet name="Marketing Results" sheetId="5" r:id="rId3"/>
    <sheet name="Benchmarking Guid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1" l="1"/>
  <c r="P12" i="1"/>
  <c r="P11" i="1"/>
  <c r="P10" i="1"/>
  <c r="P7" i="1"/>
  <c r="P6" i="1"/>
  <c r="J13" i="1" l="1"/>
  <c r="J12" i="1"/>
  <c r="J11" i="1"/>
  <c r="J10" i="1"/>
  <c r="J7" i="1"/>
  <c r="J6" i="1"/>
  <c r="H11" i="1" l="1"/>
  <c r="I3" i="5"/>
  <c r="I4" i="5"/>
  <c r="I5" i="5"/>
  <c r="I6" i="5"/>
  <c r="I7" i="5"/>
  <c r="I2" i="5"/>
  <c r="E3" i="5"/>
  <c r="E4" i="5"/>
  <c r="E5" i="5"/>
  <c r="E6" i="5"/>
  <c r="E7" i="5"/>
  <c r="E2" i="5"/>
  <c r="G3" i="5"/>
  <c r="G4" i="5"/>
  <c r="G5" i="5"/>
  <c r="G6" i="5"/>
  <c r="G7" i="5"/>
  <c r="G2" i="5"/>
  <c r="F3" i="5"/>
  <c r="F4" i="5"/>
  <c r="F5" i="5"/>
  <c r="F6" i="5"/>
  <c r="F7" i="5"/>
  <c r="F2" i="5"/>
  <c r="H7" i="5"/>
  <c r="H6" i="5"/>
  <c r="H5" i="5"/>
  <c r="H4" i="5"/>
  <c r="H3" i="5"/>
  <c r="H2" i="5"/>
  <c r="H12" i="1"/>
  <c r="H13" i="1"/>
  <c r="H10" i="1"/>
  <c r="H8" i="1"/>
  <c r="H7" i="1"/>
  <c r="H6" i="1"/>
  <c r="Q13" i="1"/>
  <c r="Q12" i="1"/>
  <c r="Q11" i="1"/>
  <c r="Q10" i="1"/>
  <c r="Q7" i="1"/>
  <c r="Q6" i="1"/>
  <c r="R6" i="1"/>
  <c r="P8" i="1"/>
  <c r="I7" i="1"/>
  <c r="I6" i="1"/>
  <c r="I11" i="1"/>
  <c r="I12" i="1"/>
  <c r="I13" i="1"/>
  <c r="I10" i="1"/>
</calcChain>
</file>

<file path=xl/sharedStrings.xml><?xml version="1.0" encoding="utf-8"?>
<sst xmlns="http://schemas.openxmlformats.org/spreadsheetml/2006/main" count="52" uniqueCount="41">
  <si>
    <t>Marketing Drivers Impact - Brand X</t>
  </si>
  <si>
    <t>Price</t>
  </si>
  <si>
    <t>Distribution</t>
  </si>
  <si>
    <t>Powder TV Investments</t>
  </si>
  <si>
    <t>Liquids TV Investments</t>
  </si>
  <si>
    <t>Digital Display Investments</t>
  </si>
  <si>
    <t>Facebook Investments</t>
  </si>
  <si>
    <t>Digital Search Investments</t>
  </si>
  <si>
    <t>YouTube Investments</t>
  </si>
  <si>
    <t>Price Promotions</t>
  </si>
  <si>
    <t>Visibility in Stores</t>
  </si>
  <si>
    <t>Y TV Investments</t>
  </si>
  <si>
    <t>Guide to Interpret Results</t>
  </si>
  <si>
    <t>If X increases brand price by 1%, it loses sales by 0.9%</t>
  </si>
  <si>
    <t>Y Price</t>
  </si>
  <si>
    <t>If Y increases brand price by 1%, X gains sales by 0.5%</t>
  </si>
  <si>
    <t>Outlet and Format Wise Price Impacts</t>
  </si>
  <si>
    <t>X Powder</t>
  </si>
  <si>
    <t>X Liquid</t>
  </si>
  <si>
    <t>MT</t>
  </si>
  <si>
    <t>TT</t>
  </si>
  <si>
    <t>Business Context</t>
  </si>
  <si>
    <t>What is expected?</t>
  </si>
  <si>
    <t>What was the solution?</t>
  </si>
  <si>
    <t xml:space="preserve">Create a maximum of 5 slides that explain the results shown in the next tab and build a cohesive story using both the context provided above and benchmarks provided in the final tab
Comments on the story should bring out broad insights in a crisp manner
</t>
  </si>
  <si>
    <t>Activity</t>
  </si>
  <si>
    <t>Spends</t>
  </si>
  <si>
    <r>
      <t xml:space="preserve">X is an FMCG brand in the Laundry category in a South-East Asian country. It is the dominant brand in the category with &gt;45% Market Share
X is sold in 2 formats – Powders and Liquids
TV investments towards promoting Liquids have been increased in the last year
It can be purchased by customers from 2 main outlets – Modern Trade (MT) and Traditional Trade (TT). The brand has a larger presence in TT than MT
Promotion investments for Liquids in MT and for Powders in TT have been increased in the last year
Its key competitor is a brand Y that has 15% Market Share
Y has reduced TV investments
</t>
    </r>
    <r>
      <rPr>
        <b/>
        <sz val="11"/>
        <color theme="1"/>
        <rFont val="Calibri"/>
        <family val="2"/>
        <scheme val="minor"/>
      </rPr>
      <t>The brand wanted to understand how various marketing drivers - Price, Distribution, Promotions and Media, affected their sales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Use the media data in the Results tab to analyze channel performance and provide recommendations on the most effective media channels. (Hint: Evaluate media efficiency using success metrics such as ROI, CPM, and Effectiveness etc)</t>
    </r>
  </si>
  <si>
    <t>5000/Litre</t>
  </si>
  <si>
    <t>Incremental Sales Volume generated</t>
  </si>
  <si>
    <t>5800/Litre</t>
  </si>
  <si>
    <t>A Marketing ROI analysis was carried out and the impact of the 4 Marketing Drivers was estimated. These impacts were represented as Driver Elasticities &amp; other media success metrices.</t>
  </si>
  <si>
    <t>CPM</t>
  </si>
  <si>
    <t>ROI</t>
  </si>
  <si>
    <t>Effectiveness</t>
  </si>
  <si>
    <t>Value Sales</t>
  </si>
  <si>
    <t>Share of Spend</t>
  </si>
  <si>
    <t>Support</t>
  </si>
  <si>
    <t>Value sales</t>
  </si>
  <si>
    <t>Spend</t>
  </si>
  <si>
    <t>Share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</si>
</sst>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1B1C1D"/>
      <name val="Google Sans Text"/>
    </font>
    <font>
      <sz val="11"/>
      <color rgb="FF1B1C1D"/>
      <name val="Google Sans Text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8FAF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4" borderId="23" xfId="0" applyFont="1" applyFill="1" applyBorder="1"/>
    <xf numFmtId="0" fontId="2" fillId="5" borderId="23" xfId="0" applyFont="1" applyFill="1" applyBorder="1"/>
    <xf numFmtId="0" fontId="2" fillId="3" borderId="23" xfId="0" applyFont="1" applyFill="1" applyBorder="1"/>
    <xf numFmtId="0" fontId="1" fillId="0" borderId="0" xfId="0" applyFont="1"/>
    <xf numFmtId="0" fontId="1" fillId="0" borderId="6" xfId="0" applyFont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43" fontId="0" fillId="0" borderId="0" xfId="0" applyNumberFormat="1"/>
    <xf numFmtId="43" fontId="0" fillId="0" borderId="0" xfId="1" applyFont="1"/>
    <xf numFmtId="165" fontId="0" fillId="0" borderId="0" xfId="0" applyNumberFormat="1"/>
    <xf numFmtId="165" fontId="0" fillId="0" borderId="11" xfId="1" applyNumberFormat="1" applyFont="1" applyBorder="1" applyAlignment="1">
      <alignment horizontal="center"/>
    </xf>
    <xf numFmtId="0" fontId="5" fillId="6" borderId="1" xfId="0" applyFont="1" applyFill="1" applyBorder="1" applyAlignment="1">
      <alignment horizontal="left" vertical="center" indent="1"/>
    </xf>
    <xf numFmtId="0" fontId="1" fillId="0" borderId="1" xfId="0" applyFont="1" applyBorder="1"/>
    <xf numFmtId="0" fontId="6" fillId="6" borderId="1" xfId="0" applyFont="1" applyFill="1" applyBorder="1" applyAlignment="1">
      <alignment horizontal="left" vertical="center" indent="1"/>
    </xf>
    <xf numFmtId="9" fontId="0" fillId="0" borderId="1" xfId="2" applyFont="1" applyBorder="1"/>
    <xf numFmtId="43" fontId="6" fillId="6" borderId="1" xfId="1" applyFont="1" applyFill="1" applyBorder="1" applyAlignment="1">
      <alignment horizontal="left" vertical="center" indent="1"/>
    </xf>
    <xf numFmtId="165" fontId="6" fillId="6" borderId="1" xfId="1" applyNumberFormat="1" applyFont="1" applyFill="1" applyBorder="1" applyAlignment="1">
      <alignment horizontal="left" vertical="center" indent="1"/>
    </xf>
    <xf numFmtId="0" fontId="4" fillId="2" borderId="11" xfId="0" applyFont="1" applyFill="1" applyBorder="1" applyAlignment="1">
      <alignment horizontal="center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4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10886</xdr:colOff>
      <xdr:row>2</xdr:row>
      <xdr:rowOff>82550</xdr:rowOff>
    </xdr:from>
    <xdr:to>
      <xdr:col>16</xdr:col>
      <xdr:colOff>543153</xdr:colOff>
      <xdr:row>19</xdr:row>
      <xdr:rowOff>66286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F42C78-6109-4FD4-8E6F-7C5A9D0C8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457" y="445407"/>
          <a:ext cx="9041267" cy="3068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258F-C467-448F-9D18-4FAAD5160ED9}">
  <dimension ref="A1:A31"/>
  <sheetViews>
    <sheetView showGridLines="0" zoomScale="70" zoomScaleNormal="70" workbookViewId="0">
      <selection activeCell="A2" sqref="A2:A14"/>
    </sheetView>
  </sheetViews>
  <sheetFormatPr defaultRowHeight="14.5"/>
  <cols>
    <col min="1" max="1" width="226.1796875" bestFit="1" customWidth="1"/>
  </cols>
  <sheetData>
    <row r="1" spans="1:1" ht="21.5" thickBot="1">
      <c r="A1" s="22" t="s">
        <v>21</v>
      </c>
    </row>
    <row r="2" spans="1:1">
      <c r="A2" s="38" t="s">
        <v>27</v>
      </c>
    </row>
    <row r="3" spans="1:1">
      <c r="A3" s="39"/>
    </row>
    <row r="4" spans="1:1">
      <c r="A4" s="39"/>
    </row>
    <row r="5" spans="1:1">
      <c r="A5" s="39"/>
    </row>
    <row r="6" spans="1:1">
      <c r="A6" s="39"/>
    </row>
    <row r="7" spans="1:1">
      <c r="A7" s="39"/>
    </row>
    <row r="8" spans="1:1">
      <c r="A8" s="39"/>
    </row>
    <row r="9" spans="1:1">
      <c r="A9" s="39"/>
    </row>
    <row r="10" spans="1:1">
      <c r="A10" s="39"/>
    </row>
    <row r="11" spans="1:1">
      <c r="A11" s="39"/>
    </row>
    <row r="12" spans="1:1">
      <c r="A12" s="39"/>
    </row>
    <row r="13" spans="1:1">
      <c r="A13" s="39"/>
    </row>
    <row r="14" spans="1:1" ht="15" thickBot="1">
      <c r="A14" s="40"/>
    </row>
    <row r="15" spans="1:1" ht="15" thickBot="1">
      <c r="A15" s="6"/>
    </row>
    <row r="16" spans="1:1" ht="21.5" thickBot="1">
      <c r="A16" s="21" t="s">
        <v>23</v>
      </c>
    </row>
    <row r="17" spans="1:1">
      <c r="A17" s="44" t="s">
        <v>31</v>
      </c>
    </row>
    <row r="18" spans="1:1">
      <c r="A18" s="45"/>
    </row>
    <row r="19" spans="1:1">
      <c r="A19" s="45"/>
    </row>
    <row r="20" spans="1:1">
      <c r="A20" s="45"/>
    </row>
    <row r="21" spans="1:1">
      <c r="A21" s="45"/>
    </row>
    <row r="22" spans="1:1" ht="15" thickBot="1">
      <c r="A22" s="46"/>
    </row>
    <row r="23" spans="1:1">
      <c r="A23" s="6"/>
    </row>
    <row r="24" spans="1:1">
      <c r="A24" s="6"/>
    </row>
    <row r="25" spans="1:1" ht="15" thickBot="1"/>
    <row r="26" spans="1:1" ht="21.5" thickBot="1">
      <c r="A26" s="20" t="s">
        <v>22</v>
      </c>
    </row>
    <row r="27" spans="1:1">
      <c r="A27" s="41" t="s">
        <v>24</v>
      </c>
    </row>
    <row r="28" spans="1:1">
      <c r="A28" s="42"/>
    </row>
    <row r="29" spans="1:1">
      <c r="A29" s="42"/>
    </row>
    <row r="30" spans="1:1">
      <c r="A30" s="42"/>
    </row>
    <row r="31" spans="1:1" ht="15" thickBot="1">
      <c r="A31" s="43"/>
    </row>
  </sheetData>
  <mergeCells count="3">
    <mergeCell ref="A2:A14"/>
    <mergeCell ref="A27:A31"/>
    <mergeCell ref="A17:A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D3E9-3845-4342-A370-0BF41255E94C}">
  <dimension ref="A1:S21"/>
  <sheetViews>
    <sheetView showGridLines="0" tabSelected="1" zoomScale="70" zoomScaleNormal="70" workbookViewId="0">
      <selection activeCell="P13" sqref="P13"/>
    </sheetView>
  </sheetViews>
  <sheetFormatPr defaultRowHeight="14.5"/>
  <cols>
    <col min="1" max="1" width="25.54296875" bestFit="1" customWidth="1"/>
    <col min="2" max="3" width="9.81640625" customWidth="1"/>
    <col min="5" max="8" width="15.81640625" customWidth="1"/>
    <col min="9" max="9" width="11.90625" customWidth="1"/>
    <col min="10" max="10" width="8.7265625" style="28"/>
    <col min="15" max="15" width="30.81640625" customWidth="1"/>
    <col min="18" max="18" width="11" bestFit="1" customWidth="1"/>
  </cols>
  <sheetData>
    <row r="1" spans="1:19" ht="44" thickBot="1">
      <c r="A1" s="60" t="s">
        <v>0</v>
      </c>
      <c r="B1" s="61"/>
      <c r="C1" s="61"/>
      <c r="D1" s="61"/>
      <c r="E1" s="10" t="s">
        <v>25</v>
      </c>
      <c r="F1" s="10" t="s">
        <v>26</v>
      </c>
      <c r="G1" s="24" t="s">
        <v>29</v>
      </c>
      <c r="H1" s="11" t="s">
        <v>1</v>
      </c>
      <c r="K1" s="57" t="s">
        <v>12</v>
      </c>
      <c r="L1" s="58"/>
      <c r="M1" s="58"/>
      <c r="N1" s="58"/>
      <c r="O1" s="59"/>
    </row>
    <row r="2" spans="1:19">
      <c r="A2" s="12" t="s">
        <v>1</v>
      </c>
      <c r="B2" s="62">
        <v>-0.9</v>
      </c>
      <c r="C2" s="62"/>
      <c r="D2" s="62"/>
      <c r="E2" s="9"/>
      <c r="F2" s="9"/>
      <c r="G2" s="9"/>
      <c r="H2" s="13" t="s">
        <v>28</v>
      </c>
      <c r="K2" s="55" t="s">
        <v>13</v>
      </c>
      <c r="L2" s="54"/>
      <c r="M2" s="54"/>
      <c r="N2" s="54"/>
      <c r="O2" s="56"/>
    </row>
    <row r="3" spans="1:19">
      <c r="A3" s="14" t="s">
        <v>14</v>
      </c>
      <c r="B3" s="54">
        <v>0.5</v>
      </c>
      <c r="C3" s="54"/>
      <c r="D3" s="54"/>
      <c r="E3" s="4"/>
      <c r="F3" s="4"/>
      <c r="G3" s="4"/>
      <c r="H3" s="15" t="s">
        <v>30</v>
      </c>
      <c r="K3" s="55" t="s">
        <v>15</v>
      </c>
      <c r="L3" s="54"/>
      <c r="M3" s="54"/>
      <c r="N3" s="54"/>
      <c r="O3" s="56"/>
    </row>
    <row r="4" spans="1:19">
      <c r="A4" s="14" t="s">
        <v>2</v>
      </c>
      <c r="B4" s="54">
        <v>0.8</v>
      </c>
      <c r="C4" s="54"/>
      <c r="D4" s="54"/>
      <c r="E4" s="4"/>
      <c r="F4" s="4"/>
      <c r="G4" s="4"/>
      <c r="H4" s="15"/>
      <c r="K4" s="55"/>
      <c r="L4" s="54"/>
      <c r="M4" s="54"/>
      <c r="N4" s="54"/>
      <c r="O4" s="56"/>
    </row>
    <row r="5" spans="1:19">
      <c r="A5" s="50"/>
      <c r="B5" s="51"/>
      <c r="C5" s="51"/>
      <c r="D5" s="53"/>
      <c r="E5" s="7"/>
      <c r="F5" s="7"/>
      <c r="G5" s="7"/>
      <c r="H5" s="37" t="s">
        <v>38</v>
      </c>
      <c r="I5" t="s">
        <v>33</v>
      </c>
      <c r="J5" s="28" t="s">
        <v>32</v>
      </c>
      <c r="K5" s="50"/>
      <c r="L5" s="51"/>
      <c r="M5" s="51"/>
      <c r="N5" s="51"/>
      <c r="O5" s="52"/>
      <c r="P5" t="s">
        <v>34</v>
      </c>
    </row>
    <row r="6" spans="1:19">
      <c r="A6" s="14" t="s">
        <v>3</v>
      </c>
      <c r="B6" s="54"/>
      <c r="C6" s="54"/>
      <c r="D6" s="54"/>
      <c r="E6" s="8">
        <v>52178378</v>
      </c>
      <c r="F6" s="8">
        <v>15812547</v>
      </c>
      <c r="G6" s="25">
        <v>6847</v>
      </c>
      <c r="H6" s="30">
        <f>G6*5000</f>
        <v>34235000</v>
      </c>
      <c r="I6" s="27">
        <f t="shared" ref="I6:I7" si="0">(G6*5000)/F6</f>
        <v>2.1650528532816375</v>
      </c>
      <c r="J6" s="28">
        <f>(F6/E6)*1000</f>
        <v>303.04788316723835</v>
      </c>
      <c r="K6" s="55"/>
      <c r="L6" s="54"/>
      <c r="M6" s="54"/>
      <c r="N6" s="54"/>
      <c r="O6" s="56"/>
      <c r="P6" s="27">
        <f>((G6*5000)/E6)*1000</f>
        <v>656.11468413218972</v>
      </c>
      <c r="Q6" s="28">
        <f>F6/$R$6</f>
        <v>0.39509621404379031</v>
      </c>
      <c r="R6" s="29">
        <f>F6+F7+SUM(F10:F13)</f>
        <v>40022016</v>
      </c>
      <c r="S6" s="27"/>
    </row>
    <row r="7" spans="1:19">
      <c r="A7" s="14" t="s">
        <v>4</v>
      </c>
      <c r="B7" s="54"/>
      <c r="C7" s="54"/>
      <c r="D7" s="54"/>
      <c r="E7" s="8">
        <v>31409137</v>
      </c>
      <c r="F7" s="8">
        <v>12276815</v>
      </c>
      <c r="G7" s="25">
        <v>3127</v>
      </c>
      <c r="H7" s="30">
        <f>G7*5000</f>
        <v>15635000</v>
      </c>
      <c r="I7" s="27">
        <f t="shared" si="0"/>
        <v>1.2735387802129461</v>
      </c>
      <c r="J7" s="28">
        <f>(F7/E7)*1000</f>
        <v>390.86763192506692</v>
      </c>
      <c r="K7" s="55"/>
      <c r="L7" s="54"/>
      <c r="M7" s="54"/>
      <c r="N7" s="54"/>
      <c r="O7" s="56"/>
      <c r="P7" s="27">
        <f>((G7*5000)/E7)*1000</f>
        <v>497.78508718657247</v>
      </c>
      <c r="Q7" s="28">
        <f t="shared" ref="Q7" si="1">F7/$R$6</f>
        <v>0.30675153895296031</v>
      </c>
      <c r="R7" s="29"/>
    </row>
    <row r="8" spans="1:19">
      <c r="A8" s="14" t="s">
        <v>11</v>
      </c>
      <c r="B8" s="54"/>
      <c r="C8" s="54"/>
      <c r="D8" s="54"/>
      <c r="E8" s="8">
        <v>42380082</v>
      </c>
      <c r="F8" s="8">
        <v>13831313</v>
      </c>
      <c r="G8" s="25">
        <v>-3545</v>
      </c>
      <c r="H8" s="30">
        <f>G8*5800</f>
        <v>-20561000</v>
      </c>
      <c r="I8" s="27"/>
      <c r="K8" s="55"/>
      <c r="L8" s="54"/>
      <c r="M8" s="54"/>
      <c r="N8" s="54"/>
      <c r="O8" s="56"/>
      <c r="P8" s="27">
        <f>(G8*5800)/E8</f>
        <v>-0.48515715472188092</v>
      </c>
      <c r="Q8" s="28"/>
      <c r="R8" s="29"/>
    </row>
    <row r="9" spans="1:19">
      <c r="A9" s="50"/>
      <c r="B9" s="51"/>
      <c r="C9" s="51"/>
      <c r="D9" s="53"/>
      <c r="E9" s="7"/>
      <c r="F9" s="7"/>
      <c r="G9" s="26"/>
      <c r="H9" s="16"/>
      <c r="K9" s="50"/>
      <c r="L9" s="51"/>
      <c r="M9" s="51"/>
      <c r="N9" s="51"/>
      <c r="O9" s="52"/>
      <c r="R9" s="29"/>
    </row>
    <row r="10" spans="1:19">
      <c r="A10" s="14" t="s">
        <v>5</v>
      </c>
      <c r="B10" s="54"/>
      <c r="C10" s="54"/>
      <c r="D10" s="54"/>
      <c r="E10" s="8">
        <v>32428891</v>
      </c>
      <c r="F10" s="8">
        <v>1561536</v>
      </c>
      <c r="G10" s="25">
        <v>2546</v>
      </c>
      <c r="H10" s="30">
        <f>G10*5000</f>
        <v>12730000</v>
      </c>
      <c r="I10" s="27">
        <f>(G10*5000)/F10</f>
        <v>8.1522295995737526</v>
      </c>
      <c r="J10" s="28">
        <f t="shared" ref="J10:J13" si="2">(F10/E10)*1000</f>
        <v>48.15261798499369</v>
      </c>
      <c r="K10" s="55"/>
      <c r="L10" s="54"/>
      <c r="M10" s="54"/>
      <c r="N10" s="54"/>
      <c r="O10" s="56"/>
      <c r="P10" s="27">
        <f t="shared" ref="P10:P13" si="3">((G10*5000)/E10)*1000</f>
        <v>392.55119763423301</v>
      </c>
      <c r="Q10" s="28">
        <f>F10/$R$6</f>
        <v>3.9016925084433531E-2</v>
      </c>
      <c r="R10" s="29"/>
    </row>
    <row r="11" spans="1:19">
      <c r="A11" s="14" t="s">
        <v>6</v>
      </c>
      <c r="B11" s="54"/>
      <c r="C11" s="54"/>
      <c r="D11" s="54"/>
      <c r="E11" s="8">
        <v>45882935</v>
      </c>
      <c r="F11" s="8">
        <v>2439874</v>
      </c>
      <c r="G11" s="25">
        <v>6747</v>
      </c>
      <c r="H11" s="30">
        <f t="shared" ref="H11:H13" si="4">G11*5000</f>
        <v>33735000</v>
      </c>
      <c r="I11" s="27">
        <f t="shared" ref="I11:I13" si="5">(G11*5000)/F11</f>
        <v>13.826533665263042</v>
      </c>
      <c r="J11" s="28">
        <f t="shared" si="2"/>
        <v>53.176066439516134</v>
      </c>
      <c r="K11" s="55"/>
      <c r="L11" s="54"/>
      <c r="M11" s="54"/>
      <c r="N11" s="54"/>
      <c r="O11" s="56"/>
      <c r="P11" s="27">
        <f t="shared" si="3"/>
        <v>735.24067281223404</v>
      </c>
      <c r="Q11" s="28">
        <f t="shared" ref="Q11:Q13" si="6">F11/$R$6</f>
        <v>6.0963295801990586E-2</v>
      </c>
      <c r="R11" s="29"/>
    </row>
    <row r="12" spans="1:19">
      <c r="A12" s="14" t="s">
        <v>7</v>
      </c>
      <c r="B12" s="54"/>
      <c r="C12" s="54"/>
      <c r="D12" s="54"/>
      <c r="E12" s="8">
        <v>58987698</v>
      </c>
      <c r="F12" s="8">
        <v>3562459</v>
      </c>
      <c r="G12" s="25">
        <v>7648</v>
      </c>
      <c r="H12" s="30">
        <f t="shared" si="4"/>
        <v>38240000</v>
      </c>
      <c r="I12" s="27">
        <f t="shared" si="5"/>
        <v>10.734158624702768</v>
      </c>
      <c r="J12" s="28">
        <f t="shared" si="2"/>
        <v>60.393253522115749</v>
      </c>
      <c r="K12" s="55"/>
      <c r="L12" s="54"/>
      <c r="M12" s="54"/>
      <c r="N12" s="54"/>
      <c r="O12" s="56"/>
      <c r="P12" s="27">
        <f t="shared" si="3"/>
        <v>648.27076316827959</v>
      </c>
      <c r="Q12" s="28">
        <f t="shared" si="6"/>
        <v>8.9012482529615702E-2</v>
      </c>
      <c r="R12" s="29"/>
    </row>
    <row r="13" spans="1:19">
      <c r="A13" s="14" t="s">
        <v>8</v>
      </c>
      <c r="B13" s="54"/>
      <c r="C13" s="54"/>
      <c r="D13" s="54"/>
      <c r="E13" s="8">
        <v>72873136</v>
      </c>
      <c r="F13" s="8">
        <v>4368785</v>
      </c>
      <c r="G13" s="25">
        <v>13765</v>
      </c>
      <c r="H13" s="30">
        <f t="shared" si="4"/>
        <v>68825000</v>
      </c>
      <c r="I13" s="27">
        <f t="shared" si="5"/>
        <v>15.753807980937491</v>
      </c>
      <c r="J13" s="28">
        <f t="shared" si="2"/>
        <v>59.950555716443986</v>
      </c>
      <c r="K13" s="55"/>
      <c r="L13" s="54"/>
      <c r="M13" s="54"/>
      <c r="N13" s="54"/>
      <c r="O13" s="56"/>
      <c r="P13" s="27">
        <f t="shared" si="3"/>
        <v>944.44954310735307</v>
      </c>
      <c r="Q13" s="28">
        <f t="shared" si="6"/>
        <v>0.1091595435872096</v>
      </c>
      <c r="R13" s="29"/>
    </row>
    <row r="14" spans="1:19">
      <c r="A14" s="50"/>
      <c r="B14" s="51"/>
      <c r="C14" s="51"/>
      <c r="D14" s="53"/>
      <c r="E14" s="7"/>
      <c r="F14" s="7"/>
      <c r="G14" s="7"/>
      <c r="H14" s="16"/>
      <c r="K14" s="50"/>
      <c r="L14" s="51"/>
      <c r="M14" s="51"/>
      <c r="N14" s="51"/>
      <c r="O14" s="52"/>
    </row>
    <row r="15" spans="1:19">
      <c r="A15" s="14" t="s">
        <v>9</v>
      </c>
      <c r="B15" s="54">
        <v>0.01</v>
      </c>
      <c r="C15" s="54"/>
      <c r="D15" s="54"/>
      <c r="E15" s="4"/>
      <c r="F15" s="4"/>
      <c r="G15" s="4"/>
      <c r="H15" s="15"/>
      <c r="K15" s="55"/>
      <c r="L15" s="54"/>
      <c r="M15" s="54"/>
      <c r="N15" s="54"/>
      <c r="O15" s="56"/>
    </row>
    <row r="16" spans="1:19" ht="15" thickBot="1">
      <c r="A16" s="17" t="s">
        <v>10</v>
      </c>
      <c r="B16" s="48">
        <v>0.01</v>
      </c>
      <c r="C16" s="48"/>
      <c r="D16" s="48"/>
      <c r="E16" s="18"/>
      <c r="F16" s="18"/>
      <c r="G16" s="18"/>
      <c r="H16" s="19"/>
      <c r="K16" s="47"/>
      <c r="L16" s="48"/>
      <c r="M16" s="48"/>
      <c r="N16" s="48"/>
      <c r="O16" s="49"/>
    </row>
    <row r="18" spans="1:8">
      <c r="A18" s="63" t="s">
        <v>16</v>
      </c>
      <c r="B18" s="63"/>
      <c r="C18" s="63"/>
      <c r="D18" s="23"/>
      <c r="E18" s="5"/>
      <c r="F18" s="5"/>
      <c r="G18" s="5"/>
      <c r="H18" s="5"/>
    </row>
    <row r="19" spans="1:8">
      <c r="A19" s="1"/>
      <c r="B19" s="3" t="s">
        <v>19</v>
      </c>
      <c r="C19" s="3" t="s">
        <v>20</v>
      </c>
    </row>
    <row r="20" spans="1:8">
      <c r="A20" s="1" t="s">
        <v>17</v>
      </c>
      <c r="B20" s="2">
        <v>-1</v>
      </c>
      <c r="C20" s="1">
        <v>-0.9</v>
      </c>
    </row>
    <row r="21" spans="1:8">
      <c r="A21" s="1" t="s">
        <v>18</v>
      </c>
      <c r="B21" s="1">
        <v>-0.8</v>
      </c>
      <c r="C21" s="1">
        <v>-0.8</v>
      </c>
    </row>
  </sheetData>
  <mergeCells count="33">
    <mergeCell ref="A18:C18"/>
    <mergeCell ref="B10:D10"/>
    <mergeCell ref="B11:D11"/>
    <mergeCell ref="B12:D12"/>
    <mergeCell ref="B13:D13"/>
    <mergeCell ref="B16:D16"/>
    <mergeCell ref="A1:D1"/>
    <mergeCell ref="B2:D2"/>
    <mergeCell ref="B3:D3"/>
    <mergeCell ref="B4:D4"/>
    <mergeCell ref="B6:D6"/>
    <mergeCell ref="A5:D5"/>
    <mergeCell ref="K1:O1"/>
    <mergeCell ref="K2:O2"/>
    <mergeCell ref="K3:O3"/>
    <mergeCell ref="K4:O4"/>
    <mergeCell ref="K6:O6"/>
    <mergeCell ref="K5:O5"/>
    <mergeCell ref="K16:O16"/>
    <mergeCell ref="K9:O9"/>
    <mergeCell ref="K14:O14"/>
    <mergeCell ref="A14:D14"/>
    <mergeCell ref="B7:D7"/>
    <mergeCell ref="B8:D8"/>
    <mergeCell ref="K10:O10"/>
    <mergeCell ref="K11:O11"/>
    <mergeCell ref="K12:O12"/>
    <mergeCell ref="K13:O13"/>
    <mergeCell ref="B15:D15"/>
    <mergeCell ref="K15:O15"/>
    <mergeCell ref="A9:D9"/>
    <mergeCell ref="K7:O7"/>
    <mergeCell ref="K8:O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B505-4420-4DAB-87B7-5B38384D54F0}">
  <dimension ref="A1:I7"/>
  <sheetViews>
    <sheetView workbookViewId="0">
      <selection activeCell="C3" sqref="C3"/>
    </sheetView>
  </sheetViews>
  <sheetFormatPr defaultRowHeight="14.5"/>
  <cols>
    <col min="1" max="1" width="26" bestFit="1" customWidth="1"/>
    <col min="2" max="4" width="13.36328125" bestFit="1" customWidth="1"/>
    <col min="5" max="5" width="8.36328125" bestFit="1" customWidth="1"/>
    <col min="6" max="6" width="7.26953125" bestFit="1" customWidth="1"/>
    <col min="7" max="7" width="14.90625" bestFit="1" customWidth="1"/>
    <col min="8" max="8" width="13.453125" bestFit="1" customWidth="1"/>
    <col min="9" max="9" width="12.36328125" bestFit="1" customWidth="1"/>
  </cols>
  <sheetData>
    <row r="1" spans="1:9">
      <c r="A1" s="31" t="s">
        <v>25</v>
      </c>
      <c r="B1" s="31" t="s">
        <v>37</v>
      </c>
      <c r="C1" s="31" t="s">
        <v>39</v>
      </c>
      <c r="D1" s="31" t="s">
        <v>35</v>
      </c>
      <c r="E1" s="31" t="s">
        <v>33</v>
      </c>
      <c r="F1" s="31" t="s">
        <v>32</v>
      </c>
      <c r="G1" s="31" t="s">
        <v>34</v>
      </c>
      <c r="H1" s="32" t="s">
        <v>36</v>
      </c>
      <c r="I1" s="32" t="s">
        <v>40</v>
      </c>
    </row>
    <row r="2" spans="1:9">
      <c r="A2" s="33" t="s">
        <v>3</v>
      </c>
      <c r="B2" s="36">
        <v>52178378</v>
      </c>
      <c r="C2" s="36">
        <v>15812547</v>
      </c>
      <c r="D2" s="36">
        <v>34235000</v>
      </c>
      <c r="E2" s="35">
        <f>D2/C2</f>
        <v>2.1650528532816375</v>
      </c>
      <c r="F2" s="35">
        <f>C2/B2</f>
        <v>0.30304788316723835</v>
      </c>
      <c r="G2" s="35">
        <f>D2/B2</f>
        <v>0.65611468413218976</v>
      </c>
      <c r="H2" s="34">
        <f>C2/SUM($C$2:$C$7)</f>
        <v>0.39509621404379031</v>
      </c>
      <c r="I2" s="34">
        <f>D2/SUM($D$2:$D$7)</f>
        <v>0.16831366764995084</v>
      </c>
    </row>
    <row r="3" spans="1:9">
      <c r="A3" s="33" t="s">
        <v>4</v>
      </c>
      <c r="B3" s="36">
        <v>31409137</v>
      </c>
      <c r="C3" s="36">
        <v>12276815</v>
      </c>
      <c r="D3" s="36">
        <v>15635000</v>
      </c>
      <c r="E3" s="35">
        <f t="shared" ref="E3:E7" si="0">D3/C3</f>
        <v>1.2735387802129461</v>
      </c>
      <c r="F3" s="35">
        <f t="shared" ref="F3:F7" si="1">C3/B3</f>
        <v>0.39086763192506691</v>
      </c>
      <c r="G3" s="35">
        <f t="shared" ref="G3:G7" si="2">D3/B3</f>
        <v>0.49778508718657249</v>
      </c>
      <c r="H3" s="34">
        <f t="shared" ref="H3:H7" si="3">C3/SUM($C$2:$C$7)</f>
        <v>0.30675153895296031</v>
      </c>
      <c r="I3" s="34">
        <f t="shared" ref="I3:I7" si="4">D3/SUM($D$2:$D$7)</f>
        <v>7.6868239921337261E-2</v>
      </c>
    </row>
    <row r="4" spans="1:9">
      <c r="A4" s="33" t="s">
        <v>5</v>
      </c>
      <c r="B4" s="36">
        <v>32428891</v>
      </c>
      <c r="C4" s="36">
        <v>1561536</v>
      </c>
      <c r="D4" s="36">
        <v>12730000</v>
      </c>
      <c r="E4" s="35">
        <f t="shared" si="0"/>
        <v>8.1522295995737526</v>
      </c>
      <c r="F4" s="35">
        <f t="shared" si="1"/>
        <v>4.8152617984993693E-2</v>
      </c>
      <c r="G4" s="35">
        <f t="shared" si="2"/>
        <v>0.39255119763423302</v>
      </c>
      <c r="H4" s="34">
        <f t="shared" si="3"/>
        <v>3.9016925084433531E-2</v>
      </c>
      <c r="I4" s="34">
        <f t="shared" si="4"/>
        <v>6.2586037364798425E-2</v>
      </c>
    </row>
    <row r="5" spans="1:9">
      <c r="A5" s="33" t="s">
        <v>6</v>
      </c>
      <c r="B5" s="36">
        <v>45882935</v>
      </c>
      <c r="C5" s="36">
        <v>2439874</v>
      </c>
      <c r="D5" s="36">
        <v>33735000</v>
      </c>
      <c r="E5" s="35">
        <f t="shared" si="0"/>
        <v>13.826533665263042</v>
      </c>
      <c r="F5" s="35">
        <f t="shared" si="1"/>
        <v>5.3176066439516133E-2</v>
      </c>
      <c r="G5" s="35">
        <f t="shared" si="2"/>
        <v>0.73524067281223404</v>
      </c>
      <c r="H5" s="34">
        <f t="shared" si="3"/>
        <v>6.0963295801990586E-2</v>
      </c>
      <c r="I5" s="34">
        <f t="shared" si="4"/>
        <v>0.16585545722713865</v>
      </c>
    </row>
    <row r="6" spans="1:9">
      <c r="A6" s="33" t="s">
        <v>7</v>
      </c>
      <c r="B6" s="36">
        <v>58987698</v>
      </c>
      <c r="C6" s="36">
        <v>3562459</v>
      </c>
      <c r="D6" s="36">
        <v>38240000</v>
      </c>
      <c r="E6" s="35">
        <f t="shared" si="0"/>
        <v>10.734158624702768</v>
      </c>
      <c r="F6" s="35">
        <f t="shared" si="1"/>
        <v>6.0393253522115747E-2</v>
      </c>
      <c r="G6" s="35">
        <f t="shared" si="2"/>
        <v>0.64827076316827958</v>
      </c>
      <c r="H6" s="34">
        <f t="shared" si="3"/>
        <v>8.9012482529615702E-2</v>
      </c>
      <c r="I6" s="34">
        <f t="shared" si="4"/>
        <v>0.18800393313667649</v>
      </c>
    </row>
    <row r="7" spans="1:9">
      <c r="A7" s="33" t="s">
        <v>8</v>
      </c>
      <c r="B7" s="36">
        <v>72873136</v>
      </c>
      <c r="C7" s="36">
        <v>4368785</v>
      </c>
      <c r="D7" s="36">
        <v>68825000</v>
      </c>
      <c r="E7" s="35">
        <f t="shared" si="0"/>
        <v>15.753807980937491</v>
      </c>
      <c r="F7" s="35">
        <f t="shared" si="1"/>
        <v>5.9950555716443983E-2</v>
      </c>
      <c r="G7" s="35">
        <f t="shared" si="2"/>
        <v>0.94444954310735307</v>
      </c>
      <c r="H7" s="34">
        <f t="shared" si="3"/>
        <v>0.1091595435872096</v>
      </c>
      <c r="I7" s="34">
        <f t="shared" si="4"/>
        <v>0.3383726647000983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430B-9C74-4793-9363-C80925B5C29F}">
  <dimension ref="A1"/>
  <sheetViews>
    <sheetView showGridLines="0" zoomScale="70" zoomScaleNormal="70" workbookViewId="0">
      <selection activeCell="D18" sqref="D18"/>
    </sheetView>
  </sheetViews>
  <sheetFormatPr defaultRowHeight="14.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Context</vt:lpstr>
      <vt:lpstr>Results</vt:lpstr>
      <vt:lpstr>Marketing Results</vt:lpstr>
      <vt:lpstr>Benchmarking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Mohan, Srinivasan (IM)</dc:creator>
  <cp:lastModifiedBy>Pritam Saha</cp:lastModifiedBy>
  <dcterms:created xsi:type="dcterms:W3CDTF">2021-11-23T12:07:29Z</dcterms:created>
  <dcterms:modified xsi:type="dcterms:W3CDTF">2025-09-07T21:17:49Z</dcterms:modified>
</cp:coreProperties>
</file>